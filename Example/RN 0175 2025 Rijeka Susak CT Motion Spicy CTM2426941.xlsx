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Moe\Dokumenti za obradu\"/>
    </mc:Choice>
  </mc:AlternateContent>
  <xr:revisionPtr revIDLastSave="0" documentId="8_{FD7FE804-4E85-4C33-8046-B4A9DE6CE5FF}" xr6:coauthVersionLast="47" xr6:coauthVersionMax="47" xr10:uidLastSave="{00000000-0000-0000-0000-000000000000}"/>
  <bookViews>
    <workbookView xWindow="-120" yWindow="-120" windowWidth="29040" windowHeight="17520" xr2:uid="{84FB662C-8552-4B05-8B1F-F299CAFD425F}"/>
  </bookViews>
  <sheets>
    <sheet name="radni nalog s logotipom" sheetId="3" r:id="rId1"/>
  </sheets>
  <definedNames>
    <definedName name="_xlnm.Print_Area" localSheetId="0">'radni nalog s logotipom'!$A$1:$I$54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3" l="1"/>
  <c r="H39" i="3"/>
  <c r="I39" i="3"/>
  <c r="F39" i="3"/>
  <c r="F1" i="3"/>
  <c r="E1" i="3"/>
  <c r="D1" i="3"/>
  <c r="C1" i="3"/>
  <c r="B1" i="3"/>
  <c r="A1" i="3"/>
  <c r="E6" i="3"/>
</calcChain>
</file>

<file path=xl/sharedStrings.xml><?xml version="1.0" encoding="utf-8"?>
<sst xmlns="http://schemas.openxmlformats.org/spreadsheetml/2006/main" count="47" uniqueCount="47">
  <si>
    <t>Verzija SW:</t>
  </si>
  <si>
    <t>Telefon:</t>
  </si>
  <si>
    <t>datum</t>
  </si>
  <si>
    <t xml:space="preserve">Datum inst.: </t>
  </si>
  <si>
    <t>RADNI NALOG br:</t>
  </si>
  <si>
    <t>Naručitelj:</t>
  </si>
  <si>
    <t>Adresa:</t>
  </si>
  <si>
    <t>Poziv primio/vrijeme:</t>
  </si>
  <si>
    <t>Sustav:</t>
  </si>
  <si>
    <t>Ser. br.:</t>
  </si>
  <si>
    <t>Ugovor br.:</t>
  </si>
  <si>
    <t>Opis pogreške</t>
  </si>
  <si>
    <t>početak</t>
  </si>
  <si>
    <t>završetak</t>
  </si>
  <si>
    <t>redovni sati</t>
  </si>
  <si>
    <t>praznik/
noćni sati</t>
  </si>
  <si>
    <t>Ukupno:</t>
  </si>
  <si>
    <t>Opis obavljenog posla</t>
  </si>
  <si>
    <t>Opis potrošenog materijala</t>
  </si>
  <si>
    <t>Količina</t>
  </si>
  <si>
    <t>Dostavnica</t>
  </si>
  <si>
    <t>Putni troškovi obračunat će se u skladu s cjenikom tvrtke Mark Medical d.o.o.</t>
  </si>
  <si>
    <t>Ustanova/odjel:</t>
  </si>
  <si>
    <t>Kat. br.:</t>
  </si>
  <si>
    <t>Naručitelj (ime, prezime, pečat i potpis):</t>
  </si>
  <si>
    <t>Serviser (ime, prezime, pečat i potpis):</t>
  </si>
  <si>
    <t>prekovrem. sati</t>
  </si>
  <si>
    <r>
      <t xml:space="preserve">Udaljenost </t>
    </r>
    <r>
      <rPr>
        <sz val="8"/>
        <rFont val="Times New Roman"/>
        <family val="1"/>
        <charset val="238"/>
      </rPr>
      <t>(km)</t>
    </r>
  </si>
  <si>
    <t>Serviser (ime i prezime)</t>
  </si>
  <si>
    <t>Šifra pogr.</t>
  </si>
  <si>
    <t>Kataloški broj</t>
  </si>
  <si>
    <t>Serijski br./LOT</t>
  </si>
  <si>
    <t xml:space="preserve">Račun za usluge ćemo Vam ispostaviti na temelju vaše narudžbenice. </t>
  </si>
  <si>
    <t>NAPOMENE:</t>
  </si>
  <si>
    <t>175/2025</t>
  </si>
  <si>
    <t>KBC Rijeka</t>
  </si>
  <si>
    <t>Radiologija</t>
  </si>
  <si>
    <t>Iva Zelić - 091 165 8105</t>
  </si>
  <si>
    <t>Ul. Tome Strižića 3</t>
  </si>
  <si>
    <t>51000 Rijeka</t>
  </si>
  <si>
    <t>XD8000</t>
  </si>
  <si>
    <t>CTM2426941</t>
  </si>
  <si>
    <t>CT Motion Spicy</t>
  </si>
  <si>
    <t>Jako blijed prikaz na display-u injektora zbog čega se jako slabo vide ispisane vrijednosti.</t>
  </si>
  <si>
    <t>Darko Majetić</t>
  </si>
  <si>
    <t>7.11.2025.</t>
  </si>
  <si>
    <t>Korisniku telefonski objašnjena uputa na koji način se povećava kontrast display-a. Nakon primjene te upute korisnik je potvrdio da je prikaz na display-u ispravan.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</si>
</sst>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charset val="238"/>
    </font>
    <font>
      <sz val="11"/>
      <name val="Arial"/>
      <family val="2"/>
      <charset val="238"/>
    </font>
    <font>
      <sz val="11"/>
      <name val="Arial"/>
      <family val="2"/>
    </font>
    <font>
      <sz val="10"/>
      <name val="Arial"/>
      <family val="2"/>
      <charset val="238"/>
    </font>
    <font>
      <sz val="10"/>
      <name val="Times New Roman"/>
      <family val="1"/>
      <charset val="238"/>
    </font>
    <font>
      <b/>
      <sz val="10"/>
      <name val="Times New Roman"/>
      <family val="1"/>
      <charset val="238"/>
    </font>
    <font>
      <sz val="8"/>
      <name val="Times New Roman"/>
      <family val="1"/>
      <charset val="238"/>
    </font>
    <font>
      <sz val="11"/>
      <name val="Times New Roman"/>
      <family val="1"/>
      <charset val="238"/>
    </font>
    <font>
      <b/>
      <sz val="12"/>
      <name val="Times New Roman"/>
      <family val="1"/>
      <charset val="238"/>
    </font>
    <font>
      <sz val="11"/>
      <color rgb="FFFFFFFF"/>
      <name val="Arial"/>
      <family val="2"/>
      <charset val="238"/>
    </font>
    <font>
      <sz val="11"/>
      <color rgb="FFFFFFFF"/>
      <name val="Times New Roman"/>
      <family val="1"/>
      <charset val="238"/>
    </font>
    <font>
      <sz val="11"/>
      <color theme="0"/>
      <name val="Times New Roman"/>
      <family val="1"/>
      <charset val="238"/>
    </font>
    <font>
      <sz val="10"/>
      <color rgb="FF000000"/>
      <name val="Arial"/>
      <family val="2"/>
      <charset val="238"/>
    </font>
    <font>
      <sz val="8"/>
      <color rgb="FF000000"/>
      <name val="Segoe UI"/>
      <family val="2"/>
      <charset val="238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/>
    <xf numFmtId="0" fontId="2" fillId="0" borderId="0" xfId="0" applyFont="1"/>
    <xf numFmtId="0" fontId="7" fillId="0" borderId="0" xfId="0" applyFont="1"/>
    <xf numFmtId="0" fontId="3" fillId="0" borderId="0" xfId="0" applyFont="1"/>
    <xf numFmtId="0" fontId="7" fillId="0" borderId="3" xfId="0" applyFont="1" applyBorder="1" applyAlignment="1" applyProtection="1">
      <alignment horizontal="right"/>
      <protection locked="0"/>
    </xf>
    <xf numFmtId="0" fontId="4" fillId="0" borderId="2" xfId="0" applyFont="1" applyBorder="1" applyProtection="1">
      <protection locked="0"/>
    </xf>
    <xf numFmtId="0" fontId="4" fillId="0" borderId="22" xfId="0" applyFont="1" applyBorder="1" applyProtection="1">
      <protection locked="0"/>
    </xf>
    <xf numFmtId="0" fontId="4" fillId="0" borderId="26" xfId="0" applyFont="1" applyBorder="1" applyProtection="1">
      <protection locked="0"/>
    </xf>
    <xf numFmtId="0" fontId="4" fillId="0" borderId="27" xfId="0" applyFont="1" applyBorder="1" applyProtection="1">
      <protection locked="0"/>
    </xf>
    <xf numFmtId="0" fontId="6" fillId="0" borderId="25" xfId="0" applyFont="1" applyBorder="1"/>
    <xf numFmtId="0" fontId="7" fillId="0" borderId="26" xfId="0" applyFont="1" applyBorder="1"/>
    <xf numFmtId="0" fontId="7" fillId="0" borderId="3" xfId="0" applyFont="1" applyBorder="1"/>
    <xf numFmtId="0" fontId="6" fillId="0" borderId="26" xfId="0" applyFont="1" applyBorder="1"/>
    <xf numFmtId="0" fontId="4" fillId="0" borderId="26" xfId="0" applyFont="1" applyBorder="1"/>
    <xf numFmtId="0" fontId="4" fillId="0" borderId="27" xfId="0" applyFont="1" applyBorder="1"/>
    <xf numFmtId="0" fontId="9" fillId="0" borderId="0" xfId="0" applyFont="1"/>
    <xf numFmtId="0" fontId="10" fillId="0" borderId="0" xfId="0" applyFont="1"/>
    <xf numFmtId="0" fontId="4" fillId="0" borderId="0" xfId="0" applyFont="1"/>
    <xf numFmtId="0" fontId="4" fillId="0" borderId="0" xfId="0" quotePrefix="1" applyFont="1" applyAlignment="1">
      <alignment horizontal="left"/>
    </xf>
    <xf numFmtId="0" fontId="4" fillId="0" borderId="45" xfId="0" applyFont="1" applyBorder="1"/>
    <xf numFmtId="0" fontId="7" fillId="0" borderId="18" xfId="0" applyFont="1" applyBorder="1"/>
    <xf numFmtId="0" fontId="4" fillId="0" borderId="18" xfId="0" applyFont="1" applyBorder="1"/>
    <xf numFmtId="0" fontId="7" fillId="0" borderId="19" xfId="0" applyFont="1" applyBorder="1"/>
    <xf numFmtId="0" fontId="4" fillId="0" borderId="16" xfId="0" applyFont="1" applyBorder="1" applyAlignment="1">
      <alignment horizontal="left" vertical="center"/>
    </xf>
    <xf numFmtId="0" fontId="4" fillId="0" borderId="17" xfId="0" applyFont="1" applyBorder="1"/>
    <xf numFmtId="0" fontId="4" fillId="0" borderId="3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16" xfId="0" applyFont="1" applyBorder="1"/>
    <xf numFmtId="0" fontId="4" fillId="0" borderId="36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4" xfId="0" applyFont="1" applyBorder="1"/>
    <xf numFmtId="0" fontId="4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5" fillId="0" borderId="11" xfId="0" applyFont="1" applyBorder="1"/>
    <xf numFmtId="0" fontId="5" fillId="0" borderId="9" xfId="0" applyFont="1" applyBorder="1"/>
    <xf numFmtId="0" fontId="5" fillId="0" borderId="6" xfId="0" applyFont="1" applyBorder="1"/>
    <xf numFmtId="0" fontId="5" fillId="0" borderId="4" xfId="0" applyFont="1" applyBorder="1"/>
    <xf numFmtId="0" fontId="4" fillId="0" borderId="3" xfId="0" applyFont="1" applyBorder="1"/>
    <xf numFmtId="0" fontId="2" fillId="0" borderId="2" xfId="0" applyFont="1" applyBorder="1"/>
    <xf numFmtId="0" fontId="4" fillId="0" borderId="2" xfId="0" applyFont="1" applyBorder="1"/>
    <xf numFmtId="0" fontId="4" fillId="0" borderId="1" xfId="0" applyFont="1" applyBorder="1"/>
    <xf numFmtId="14" fontId="7" fillId="0" borderId="3" xfId="0" applyNumberFormat="1" applyFont="1" applyBorder="1"/>
    <xf numFmtId="0" fontId="8" fillId="0" borderId="3" xfId="0" applyFont="1" applyBorder="1"/>
    <xf numFmtId="0" fontId="4" fillId="0" borderId="15" xfId="0" applyFont="1" applyBorder="1" applyProtection="1">
      <protection locked="0"/>
    </xf>
    <xf numFmtId="0" fontId="4" fillId="0" borderId="21" xfId="0" applyFont="1" applyBorder="1" applyProtection="1">
      <protection locked="0"/>
    </xf>
    <xf numFmtId="0" fontId="4" fillId="0" borderId="28" xfId="0" applyFont="1" applyBorder="1" applyProtection="1">
      <protection locked="0"/>
    </xf>
    <xf numFmtId="0" fontId="4" fillId="0" borderId="29" xfId="0" applyFont="1" applyBorder="1" applyProtection="1">
      <protection locked="0"/>
    </xf>
    <xf numFmtId="0" fontId="4" fillId="0" borderId="30" xfId="0" applyFont="1" applyBorder="1" applyProtection="1">
      <protection locked="0"/>
    </xf>
    <xf numFmtId="0" fontId="4" fillId="0" borderId="31" xfId="0" applyFont="1" applyBorder="1" applyProtection="1">
      <protection locked="0"/>
    </xf>
    <xf numFmtId="0" fontId="4" fillId="0" borderId="32" xfId="0" applyFont="1" applyBorder="1" applyProtection="1">
      <protection locked="0"/>
    </xf>
    <xf numFmtId="0" fontId="4" fillId="0" borderId="33" xfId="0" applyFont="1" applyBorder="1" applyProtection="1">
      <protection locked="0"/>
    </xf>
    <xf numFmtId="14" fontId="4" fillId="0" borderId="41" xfId="0" applyNumberFormat="1" applyFont="1" applyBorder="1" applyProtection="1">
      <protection locked="0"/>
    </xf>
    <xf numFmtId="0" fontId="4" fillId="0" borderId="41" xfId="0" applyFont="1" applyBorder="1" applyProtection="1">
      <protection locked="0"/>
    </xf>
    <xf numFmtId="0" fontId="4" fillId="0" borderId="38" xfId="0" applyFont="1" applyBorder="1" applyProtection="1">
      <protection locked="0"/>
    </xf>
    <xf numFmtId="14" fontId="4" fillId="0" borderId="42" xfId="0" applyNumberFormat="1" applyFont="1" applyBorder="1" applyProtection="1">
      <protection locked="0"/>
    </xf>
    <xf numFmtId="0" fontId="4" fillId="0" borderId="42" xfId="0" applyFont="1" applyBorder="1" applyProtection="1">
      <protection locked="0"/>
    </xf>
    <xf numFmtId="0" fontId="4" fillId="0" borderId="39" xfId="0" applyFont="1" applyBorder="1" applyProtection="1">
      <protection locked="0"/>
    </xf>
    <xf numFmtId="0" fontId="4" fillId="0" borderId="24" xfId="0" applyFont="1" applyBorder="1" applyProtection="1">
      <protection locked="0"/>
    </xf>
    <xf numFmtId="0" fontId="4" fillId="0" borderId="43" xfId="0" applyFont="1" applyBorder="1" applyProtection="1">
      <protection locked="0"/>
    </xf>
    <xf numFmtId="0" fontId="4" fillId="0" borderId="40" xfId="0" applyFont="1" applyBorder="1" applyProtection="1">
      <protection locked="0"/>
    </xf>
    <xf numFmtId="0" fontId="4" fillId="0" borderId="37" xfId="0" applyFont="1" applyBorder="1"/>
    <xf numFmtId="0" fontId="4" fillId="0" borderId="0" xfId="0" applyFont="1" applyAlignment="1">
      <alignment horizontal="left"/>
    </xf>
    <xf numFmtId="0" fontId="11" fillId="0" borderId="0" xfId="0" applyFont="1" applyProtection="1">
      <protection locked="0"/>
    </xf>
    <xf numFmtId="0" fontId="4" fillId="0" borderId="11" xfId="0" applyFont="1" applyBorder="1" applyAlignment="1" applyProtection="1">
      <alignment horizontal="left" vertical="top"/>
      <protection locked="0"/>
    </xf>
    <xf numFmtId="0" fontId="4" fillId="0" borderId="12" xfId="0" applyFont="1" applyBorder="1" applyAlignment="1" applyProtection="1">
      <alignment horizontal="left" vertical="top"/>
      <protection locked="0"/>
    </xf>
    <xf numFmtId="0" fontId="4" fillId="0" borderId="13" xfId="0" applyFont="1" applyBorder="1" applyAlignment="1" applyProtection="1">
      <alignment horizontal="left" vertical="top"/>
      <protection locked="0"/>
    </xf>
    <xf numFmtId="0" fontId="4" fillId="0" borderId="46" xfId="0" applyFont="1" applyBorder="1" applyAlignment="1" applyProtection="1">
      <alignment horizontal="left" vertical="top"/>
      <protection locked="0"/>
    </xf>
    <xf numFmtId="0" fontId="4" fillId="0" borderId="47" xfId="0" applyFont="1" applyBorder="1" applyAlignment="1" applyProtection="1">
      <alignment horizontal="left" vertical="top"/>
      <protection locked="0"/>
    </xf>
    <xf numFmtId="0" fontId="4" fillId="0" borderId="48" xfId="0" applyFont="1" applyBorder="1" applyAlignment="1" applyProtection="1">
      <alignment horizontal="left" vertical="top"/>
      <protection locked="0"/>
    </xf>
    <xf numFmtId="0" fontId="4" fillId="0" borderId="49" xfId="0" applyFont="1" applyBorder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4" fillId="0" borderId="50" xfId="0" applyFont="1" applyBorder="1" applyAlignment="1" applyProtection="1">
      <alignment horizontal="left" vertical="top"/>
      <protection locked="0"/>
    </xf>
    <xf numFmtId="0" fontId="4" fillId="0" borderId="51" xfId="0" applyFont="1" applyBorder="1" applyAlignment="1" applyProtection="1">
      <alignment horizontal="left" vertical="top"/>
      <protection locked="0"/>
    </xf>
    <xf numFmtId="0" fontId="4" fillId="0" borderId="3" xfId="0" applyFont="1" applyBorder="1" applyAlignment="1" applyProtection="1">
      <alignment horizontal="left" vertical="top"/>
      <protection locked="0"/>
    </xf>
    <xf numFmtId="0" fontId="4" fillId="0" borderId="44" xfId="0" applyFont="1" applyBorder="1" applyAlignment="1" applyProtection="1">
      <alignment horizontal="left" vertical="top"/>
      <protection locked="0"/>
    </xf>
    <xf numFmtId="0" fontId="4" fillId="0" borderId="21" xfId="0" applyFont="1" applyBorder="1" applyAlignment="1" applyProtection="1">
      <alignment horizontal="left" vertical="top"/>
      <protection locked="0"/>
    </xf>
    <xf numFmtId="0" fontId="4" fillId="0" borderId="2" xfId="0" applyFont="1" applyBorder="1" applyAlignment="1" applyProtection="1">
      <alignment horizontal="left" vertical="top"/>
      <protection locked="0"/>
    </xf>
    <xf numFmtId="0" fontId="4" fillId="0" borderId="6" xfId="0" applyFont="1" applyBorder="1" applyAlignment="1" applyProtection="1">
      <alignment horizontal="left" vertical="top"/>
      <protection locked="0"/>
    </xf>
    <xf numFmtId="0" fontId="4" fillId="0" borderId="5" xfId="0" applyFont="1" applyBorder="1" applyAlignment="1" applyProtection="1">
      <alignment horizontal="left" vertical="top"/>
      <protection locked="0"/>
    </xf>
    <xf numFmtId="0" fontId="4" fillId="0" borderId="10" xfId="0" applyFont="1" applyBorder="1" applyAlignment="1" applyProtection="1">
      <alignment horizontal="left" vertical="top"/>
      <protection locked="0"/>
    </xf>
    <xf numFmtId="49" fontId="4" fillId="0" borderId="11" xfId="0" applyNumberFormat="1" applyFont="1" applyBorder="1" applyAlignment="1" applyProtection="1">
      <alignment horizontal="left" vertical="top"/>
      <protection locked="0"/>
    </xf>
    <xf numFmtId="49" fontId="4" fillId="0" borderId="10" xfId="0" applyNumberFormat="1" applyFont="1" applyBorder="1" applyAlignment="1" applyProtection="1">
      <alignment horizontal="left" vertical="top"/>
      <protection locked="0"/>
    </xf>
    <xf numFmtId="0" fontId="5" fillId="0" borderId="7" xfId="0" applyFont="1" applyBorder="1" applyAlignment="1" applyProtection="1">
      <alignment horizontal="left" vertical="top"/>
      <protection locked="0"/>
    </xf>
    <xf numFmtId="0" fontId="5" fillId="0" borderId="8" xfId="0" applyFont="1" applyBorder="1" applyAlignment="1" applyProtection="1">
      <alignment horizontal="left" vertical="top"/>
      <protection locked="0"/>
    </xf>
    <xf numFmtId="0" fontId="5" fillId="0" borderId="12" xfId="0" applyFont="1" applyBorder="1" applyAlignment="1" applyProtection="1">
      <alignment horizontal="left" vertical="top"/>
      <protection locked="0"/>
    </xf>
    <xf numFmtId="0" fontId="5" fillId="0" borderId="13" xfId="0" applyFont="1" applyBorder="1" applyAlignment="1" applyProtection="1">
      <alignment horizontal="left" vertical="top"/>
      <protection locked="0"/>
    </xf>
    <xf numFmtId="0" fontId="4" fillId="0" borderId="23" xfId="0" applyFont="1" applyBorder="1" applyAlignment="1" applyProtection="1">
      <alignment horizontal="left" vertical="top"/>
      <protection locked="0"/>
    </xf>
    <xf numFmtId="0" fontId="4" fillId="0" borderId="39" xfId="0" applyFont="1" applyBorder="1" applyAlignment="1" applyProtection="1">
      <alignment horizontal="left" vertical="top"/>
      <protection locked="0"/>
    </xf>
    <xf numFmtId="0" fontId="4" fillId="0" borderId="25" xfId="0" applyFont="1" applyBorder="1" applyAlignment="1" applyProtection="1">
      <alignment horizontal="left" vertical="top"/>
      <protection locked="0"/>
    </xf>
    <xf numFmtId="0" fontId="4" fillId="0" borderId="40" xfId="0" applyFont="1" applyBorder="1" applyAlignment="1" applyProtection="1">
      <alignment horizontal="left" vertical="top"/>
      <protection locked="0"/>
    </xf>
    <xf numFmtId="0" fontId="4" fillId="0" borderId="28" xfId="0" applyFont="1" applyBorder="1" applyAlignment="1" applyProtection="1">
      <alignment horizontal="left"/>
      <protection locked="0"/>
    </xf>
    <xf numFmtId="0" fontId="4" fillId="0" borderId="21" xfId="0" applyFont="1" applyBorder="1" applyAlignment="1" applyProtection="1">
      <alignment horizontal="left"/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0" xfId="0" applyFont="1" applyBorder="1" applyAlignment="1" applyProtection="1">
      <alignment horizontal="left" vertical="top"/>
      <protection locked="0"/>
    </xf>
    <xf numFmtId="0" fontId="4" fillId="0" borderId="32" xfId="0" applyFont="1" applyBorder="1" applyAlignment="1" applyProtection="1">
      <alignment horizontal="left" vertical="top"/>
      <protection locked="0"/>
    </xf>
    <xf numFmtId="0" fontId="4" fillId="0" borderId="26" xfId="0" applyFont="1" applyBorder="1" applyAlignment="1" applyProtection="1">
      <alignment horizontal="left" vertical="top"/>
      <protection locked="0"/>
    </xf>
    <xf numFmtId="0" fontId="4" fillId="0" borderId="20" xfId="0" applyFont="1" applyBorder="1" applyAlignment="1" applyProtection="1">
      <alignment horizontal="left" vertical="top"/>
      <protection locked="0"/>
    </xf>
    <xf numFmtId="0" fontId="4" fillId="0" borderId="38" xfId="0" applyFont="1" applyBorder="1" applyAlignment="1" applyProtection="1">
      <alignment horizontal="left" vertical="top"/>
      <protection locked="0"/>
    </xf>
    <xf numFmtId="0" fontId="4" fillId="0" borderId="52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 applyProtection="1">
      <alignment horizontal="left" vertical="top"/>
      <protection locked="0"/>
    </xf>
    <xf numFmtId="0" fontId="4" fillId="0" borderId="53" xfId="0" applyFont="1" applyBorder="1" applyAlignment="1" applyProtection="1">
      <alignment horizontal="left" vertical="top"/>
      <protection locked="0"/>
    </xf>
    <xf numFmtId="0" fontId="4" fillId="0" borderId="16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4" fillId="0" borderId="19" xfId="0" applyFont="1" applyBorder="1" applyAlignment="1">
      <alignment horizontal="left" vertical="top"/>
    </xf>
    <xf numFmtId="0" fontId="4" fillId="0" borderId="0" xfId="0" applyFont="1" applyAlignment="1">
      <alignment horizontal="left"/>
    </xf>
    <xf numFmtId="20" fontId="4" fillId="0" borderId="41" xfId="0" applyNumberFormat="1" applyFont="1" applyBorder="1" applyProtection="1">
      <protection locked="0"/>
    </xf>
    <xf numFmtId="0" fontId="4" fillId="0" borderId="46" xfId="0" applyFont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CheckBox" fmlaLink="$A$2" noThreeD="1"/>
</file>

<file path=xl/ctrlProps/ctrlProp3.xml><?xml version="1.0" encoding="utf-8"?>
<formControlPr xmlns="http://schemas.microsoft.com/office/spreadsheetml/2009/9/main" objectType="CheckBox" fmlaLink="$B$2" noThreeD="1"/>
</file>

<file path=xl/ctrlProps/ctrlProp4.xml><?xml version="1.0" encoding="utf-8"?>
<formControlPr xmlns="http://schemas.microsoft.com/office/spreadsheetml/2009/9/main" objectType="CheckBox" fmlaLink="$C$2" noThreeD="1"/>
</file>

<file path=xl/ctrlProps/ctrlProp5.xml><?xml version="1.0" encoding="utf-8"?>
<formControlPr xmlns="http://schemas.microsoft.com/office/spreadsheetml/2009/9/main" objectType="CheckBox" fmlaLink="$D$2" noThreeD="1"/>
</file>

<file path=xl/ctrlProps/ctrlProp6.xml><?xml version="1.0" encoding="utf-8"?>
<formControlPr xmlns="http://schemas.microsoft.com/office/spreadsheetml/2009/9/main" objectType="CheckBox" fmlaLink="$E$2" noThreeD="1"/>
</file>

<file path=xl/ctrlProps/ctrlProp7.xml><?xml version="1.0" encoding="utf-8"?>
<formControlPr xmlns="http://schemas.microsoft.com/office/spreadsheetml/2009/9/main" objectType="CheckBox" checked="Checked" fmlaLink="$F$2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14494</xdr:colOff>
      <xdr:row>0</xdr:row>
      <xdr:rowOff>20292</xdr:rowOff>
    </xdr:from>
    <xdr:to>
      <xdr:col>8</xdr:col>
      <xdr:colOff>357394</xdr:colOff>
      <xdr:row>3</xdr:row>
      <xdr:rowOff>163167</xdr:rowOff>
    </xdr:to>
    <xdr:pic>
      <xdr:nvPicPr>
        <xdr:cNvPr id="3512" name="Picture 9" descr="MARK_HR_letterhead_cl">
          <a:extLst>
            <a:ext uri="{FF2B5EF4-FFF2-40B4-BE49-F238E27FC236}">
              <a16:creationId xmlns:a16="http://schemas.microsoft.com/office/drawing/2014/main" id="{00000000-0008-0000-0000-0000B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4" y="20292"/>
          <a:ext cx="6298096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0</xdr:colOff>
          <xdr:row>0</xdr:row>
          <xdr:rowOff>0</xdr:rowOff>
        </xdr:to>
        <xdr:sp macro="" textlink="">
          <xdr:nvSpPr>
            <xdr:cNvPr id="3079" name="Button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Umetni datum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</xdr:colOff>
          <xdr:row>41</xdr:row>
          <xdr:rowOff>76200</xdr:rowOff>
        </xdr:from>
        <xdr:to>
          <xdr:col>1</xdr:col>
          <xdr:colOff>352425</xdr:colOff>
          <xdr:row>43</xdr:row>
          <xdr:rowOff>28575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Uređaj ispravan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628650</xdr:colOff>
          <xdr:row>41</xdr:row>
          <xdr:rowOff>76200</xdr:rowOff>
        </xdr:from>
        <xdr:to>
          <xdr:col>3</xdr:col>
          <xdr:colOff>180975</xdr:colOff>
          <xdr:row>43</xdr:row>
          <xdr:rowOff>28575</xdr:rowOff>
        </xdr:to>
        <xdr:sp macro="" textlink="">
          <xdr:nvSpPr>
            <xdr:cNvPr id="3081" name="Check Box 9" descr="Instalacija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Instalacija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41</xdr:row>
          <xdr:rowOff>76200</xdr:rowOff>
        </xdr:from>
        <xdr:to>
          <xdr:col>4</xdr:col>
          <xdr:colOff>447675</xdr:colOff>
          <xdr:row>43</xdr:row>
          <xdr:rowOff>28575</xdr:rowOff>
        </xdr:to>
        <xdr:sp macro="" textlink="">
          <xdr:nvSpPr>
            <xdr:cNvPr id="3082" name="Check Box 10" descr="Instalacija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0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Redovni servis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41</xdr:row>
          <xdr:rowOff>76200</xdr:rowOff>
        </xdr:from>
        <xdr:to>
          <xdr:col>6</xdr:col>
          <xdr:colOff>238125</xdr:colOff>
          <xdr:row>43</xdr:row>
          <xdr:rowOff>28575</xdr:rowOff>
        </xdr:to>
        <xdr:sp macro="" textlink="">
          <xdr:nvSpPr>
            <xdr:cNvPr id="3083" name="Check Box 11" descr="Instalacija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Garancija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333375</xdr:colOff>
          <xdr:row>41</xdr:row>
          <xdr:rowOff>76200</xdr:rowOff>
        </xdr:from>
        <xdr:to>
          <xdr:col>7</xdr:col>
          <xdr:colOff>390525</xdr:colOff>
          <xdr:row>43</xdr:row>
          <xdr:rowOff>28575</xdr:rowOff>
        </xdr:to>
        <xdr:sp macro="" textlink="">
          <xdr:nvSpPr>
            <xdr:cNvPr id="3084" name="Check Box 12" descr="Instalacija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0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Ugovor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514350</xdr:colOff>
          <xdr:row>41</xdr:row>
          <xdr:rowOff>76200</xdr:rowOff>
        </xdr:from>
        <xdr:to>
          <xdr:col>8</xdr:col>
          <xdr:colOff>771525</xdr:colOff>
          <xdr:row>43</xdr:row>
          <xdr:rowOff>28575</xdr:rowOff>
        </xdr:to>
        <xdr:sp macro="" textlink="">
          <xdr:nvSpPr>
            <xdr:cNvPr id="3085" name="Check Box 13" descr="Instalacija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0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Na poziv</a:t>
              </a:r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isarn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9DE41-0C3B-40FB-962B-B74F3BB66A6E}">
  <sheetPr codeName="List1"/>
  <dimension ref="A1:I57"/>
  <sheetViews>
    <sheetView tabSelected="1" view="pageLayout" zoomScale="115" zoomScaleNormal="100" zoomScaleSheetLayoutView="84" zoomScalePageLayoutView="115" workbookViewId="0">
      <selection activeCell="I27" sqref="I27"/>
    </sheetView>
  </sheetViews>
  <sheetFormatPr defaultRowHeight="14.25" x14ac:dyDescent="0.2"/>
  <cols>
    <col min="1" max="1" width="9.85546875" style="1" customWidth="1"/>
    <col min="2" max="2" width="10" style="1" bestFit="1" customWidth="1"/>
    <col min="3" max="3" width="10.28515625" style="1" bestFit="1" customWidth="1"/>
    <col min="4" max="4" width="11.140625" style="1" customWidth="1"/>
    <col min="5" max="5" width="8.85546875" style="1" customWidth="1"/>
    <col min="6" max="6" width="11.85546875" style="1" customWidth="1"/>
    <col min="7" max="7" width="13" style="1" customWidth="1"/>
    <col min="8" max="8" width="10.140625" style="1" customWidth="1"/>
    <col min="9" max="9" width="12" style="1" customWidth="1"/>
    <col min="10" max="16384" width="9.140625" style="1"/>
  </cols>
  <sheetData>
    <row r="1" spans="1:9" ht="15" x14ac:dyDescent="0.25">
      <c r="A1" s="66" t="str">
        <f>IF($A$2=TRUE, "Uređaj ispravan", "")</f>
        <v/>
      </c>
      <c r="B1" s="66" t="str">
        <f>IF($B$2=TRUE, "Instalacija", "")</f>
        <v/>
      </c>
      <c r="C1" s="66" t="str">
        <f>IF($C$2=TRUE, "Redovni servis", "")</f>
        <v/>
      </c>
      <c r="D1" s="66" t="str">
        <f>IF($D$2=TRUE, "Garancija", "")</f>
        <v/>
      </c>
      <c r="E1" s="66" t="str">
        <f>IF($E$2=TRUE, "Ugovor", "")</f>
        <v/>
      </c>
      <c r="F1" s="66" t="str">
        <f>IF($F$2=TRUE, "Na poziv", "")</f>
        <v>Na poziv</v>
      </c>
      <c r="G1" s="3"/>
      <c r="H1" s="3"/>
      <c r="I1" s="3"/>
    </row>
    <row r="2" spans="1:9" ht="15" x14ac:dyDescent="0.25">
      <c r="A2" s="66" t="b">
        <v>0</v>
      </c>
      <c r="B2" s="66" t="b">
        <v>0</v>
      </c>
      <c r="C2" s="66" t="b">
        <v>0</v>
      </c>
      <c r="D2" s="66" t="b">
        <v>0</v>
      </c>
      <c r="E2" s="66" t="b">
        <v>0</v>
      </c>
      <c r="F2" s="66" t="b">
        <v>1</v>
      </c>
      <c r="G2" s="3"/>
      <c r="H2" s="3"/>
      <c r="I2" s="3"/>
    </row>
    <row r="3" spans="1:9" ht="15" x14ac:dyDescent="0.25">
      <c r="A3" s="3"/>
      <c r="B3" s="3"/>
      <c r="C3" s="3"/>
      <c r="D3" s="3"/>
      <c r="E3" s="3"/>
      <c r="F3" s="3"/>
      <c r="G3" s="3"/>
      <c r="H3" s="3"/>
      <c r="I3" s="3"/>
    </row>
    <row r="4" spans="1:9" ht="15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ht="15" x14ac:dyDescent="0.25">
      <c r="A5" s="17"/>
      <c r="B5" s="3"/>
      <c r="C5" s="3"/>
      <c r="D5" s="3"/>
      <c r="E5" s="3"/>
      <c r="F5" s="3"/>
      <c r="G5" s="3"/>
      <c r="H5" s="3"/>
      <c r="I5" s="3"/>
    </row>
    <row r="6" spans="1:9" ht="16.5" thickBot="1" x14ac:dyDescent="0.3">
      <c r="A6" s="46" t="s">
        <v>4</v>
      </c>
      <c r="B6" s="12"/>
      <c r="C6" s="5" t="s">
        <v>34</v>
      </c>
      <c r="D6" s="45"/>
      <c r="E6" s="12" t="str">
        <f>IF(C35="", "", C35)</f>
        <v>7.11.2025.</v>
      </c>
      <c r="F6" s="12"/>
      <c r="G6" s="12"/>
      <c r="H6" s="12"/>
      <c r="I6" s="12"/>
    </row>
    <row r="7" spans="1:9" s="2" customFormat="1" x14ac:dyDescent="0.2">
      <c r="A7" s="44" t="s">
        <v>5</v>
      </c>
      <c r="B7" s="79" t="s">
        <v>35</v>
      </c>
      <c r="C7" s="79"/>
      <c r="D7" s="18"/>
      <c r="E7" s="18"/>
      <c r="F7" s="44" t="s">
        <v>22</v>
      </c>
      <c r="G7" s="79" t="s">
        <v>36</v>
      </c>
      <c r="H7" s="79"/>
      <c r="I7" s="79"/>
    </row>
    <row r="8" spans="1:9" s="2" customFormat="1" x14ac:dyDescent="0.2">
      <c r="A8" s="43" t="s">
        <v>1</v>
      </c>
      <c r="B8" s="80" t="s">
        <v>37</v>
      </c>
      <c r="C8" s="80"/>
      <c r="D8" s="18"/>
      <c r="E8" s="18"/>
      <c r="F8" s="43" t="s">
        <v>6</v>
      </c>
      <c r="G8" s="80" t="s">
        <v>38</v>
      </c>
      <c r="H8" s="80"/>
      <c r="I8" s="80"/>
    </row>
    <row r="9" spans="1:9" s="2" customFormat="1" x14ac:dyDescent="0.2">
      <c r="A9" s="43" t="s">
        <v>7</v>
      </c>
      <c r="B9" s="43"/>
      <c r="C9" s="6"/>
      <c r="D9" s="18"/>
      <c r="E9" s="18"/>
      <c r="F9" s="43"/>
      <c r="G9" s="80" t="s">
        <v>39</v>
      </c>
      <c r="H9" s="80"/>
      <c r="I9" s="80"/>
    </row>
    <row r="10" spans="1:9" s="2" customFormat="1" x14ac:dyDescent="0.2">
      <c r="A10" s="42"/>
      <c r="B10" s="43"/>
      <c r="C10" s="43"/>
      <c r="D10" s="18"/>
      <c r="E10" s="18"/>
      <c r="F10" s="43"/>
      <c r="G10" s="80"/>
      <c r="H10" s="80"/>
      <c r="I10" s="80"/>
    </row>
    <row r="11" spans="1:9" s="2" customFormat="1" ht="6.75" customHeight="1" thickBot="1" x14ac:dyDescent="0.25">
      <c r="A11" s="18"/>
      <c r="B11" s="41"/>
      <c r="C11" s="18"/>
      <c r="D11" s="18"/>
      <c r="E11" s="41"/>
      <c r="F11" s="18"/>
      <c r="G11" s="18"/>
      <c r="H11" s="18"/>
      <c r="I11" s="18"/>
    </row>
    <row r="12" spans="1:9" x14ac:dyDescent="0.2">
      <c r="A12" s="40" t="s">
        <v>8</v>
      </c>
      <c r="B12" s="81" t="s">
        <v>42</v>
      </c>
      <c r="C12" s="82"/>
      <c r="D12" s="39" t="s">
        <v>9</v>
      </c>
      <c r="E12" s="81" t="s">
        <v>41</v>
      </c>
      <c r="F12" s="82"/>
      <c r="G12" s="39" t="s">
        <v>3</v>
      </c>
      <c r="H12" s="86"/>
      <c r="I12" s="87"/>
    </row>
    <row r="13" spans="1:9" ht="15" thickBot="1" x14ac:dyDescent="0.25">
      <c r="A13" s="38" t="s">
        <v>23</v>
      </c>
      <c r="B13" s="67" t="s">
        <v>40</v>
      </c>
      <c r="C13" s="83"/>
      <c r="D13" s="37" t="s">
        <v>0</v>
      </c>
      <c r="E13" s="84"/>
      <c r="F13" s="85"/>
      <c r="G13" s="37" t="s">
        <v>10</v>
      </c>
      <c r="H13" s="88"/>
      <c r="I13" s="89"/>
    </row>
    <row r="14" spans="1:9" ht="6.75" customHeight="1" thickBot="1" x14ac:dyDescent="0.3">
      <c r="A14" s="3"/>
      <c r="B14" s="3"/>
      <c r="C14" s="3"/>
      <c r="D14" s="3"/>
      <c r="E14" s="3"/>
      <c r="F14" s="3"/>
      <c r="G14" s="3"/>
      <c r="H14" s="3"/>
      <c r="I14" s="3"/>
    </row>
    <row r="15" spans="1:9" ht="15" x14ac:dyDescent="0.25">
      <c r="A15" s="33" t="s">
        <v>29</v>
      </c>
      <c r="B15" s="34" t="s">
        <v>11</v>
      </c>
      <c r="C15" s="35"/>
      <c r="D15" s="35"/>
      <c r="E15" s="35"/>
      <c r="F15" s="35"/>
      <c r="G15" s="35"/>
      <c r="H15" s="35"/>
      <c r="I15" s="36"/>
    </row>
    <row r="16" spans="1:9" ht="19.5" customHeight="1" thickBot="1" x14ac:dyDescent="0.25">
      <c r="A16" s="47"/>
      <c r="B16" s="67" t="s">
        <v>43</v>
      </c>
      <c r="C16" s="68"/>
      <c r="D16" s="68"/>
      <c r="E16" s="68"/>
      <c r="F16" s="68"/>
      <c r="G16" s="68"/>
      <c r="H16" s="68"/>
      <c r="I16" s="69"/>
    </row>
    <row r="17" spans="1:9" ht="19.5" customHeight="1" thickBot="1" x14ac:dyDescent="0.3">
      <c r="A17" s="3"/>
      <c r="B17" s="3"/>
      <c r="C17" s="3"/>
      <c r="D17" s="3"/>
      <c r="E17" s="3"/>
      <c r="F17" s="3"/>
      <c r="G17" s="3"/>
      <c r="H17" s="3"/>
      <c r="I17" s="3"/>
    </row>
    <row r="18" spans="1:9" ht="15.75" customHeight="1" thickBot="1" x14ac:dyDescent="0.3">
      <c r="A18" s="30" t="s">
        <v>17</v>
      </c>
      <c r="B18" s="21"/>
      <c r="C18" s="21"/>
      <c r="D18" s="21"/>
      <c r="E18" s="21"/>
      <c r="F18" s="21"/>
      <c r="G18" s="21"/>
      <c r="H18" s="21"/>
      <c r="I18" s="23"/>
    </row>
    <row r="19" spans="1:9" ht="15" customHeight="1" x14ac:dyDescent="0.2">
      <c r="A19" s="110" t="s">
        <v>46</v>
      </c>
      <c r="B19" s="71"/>
      <c r="C19" s="71"/>
      <c r="D19" s="71"/>
      <c r="E19" s="71"/>
      <c r="F19" s="71"/>
      <c r="G19" s="71"/>
      <c r="H19" s="71"/>
      <c r="I19" s="72"/>
    </row>
    <row r="20" spans="1:9" ht="15" customHeight="1" x14ac:dyDescent="0.2">
      <c r="A20" s="73"/>
      <c r="B20" s="74"/>
      <c r="C20" s="74"/>
      <c r="D20" s="74"/>
      <c r="E20" s="74"/>
      <c r="F20" s="74"/>
      <c r="G20" s="74"/>
      <c r="H20" s="74"/>
      <c r="I20" s="75"/>
    </row>
    <row r="21" spans="1:9" ht="15" customHeight="1" x14ac:dyDescent="0.2">
      <c r="A21" s="73"/>
      <c r="B21" s="74"/>
      <c r="C21" s="74"/>
      <c r="D21" s="74"/>
      <c r="E21" s="74"/>
      <c r="F21" s="74"/>
      <c r="G21" s="74"/>
      <c r="H21" s="74"/>
      <c r="I21" s="75"/>
    </row>
    <row r="22" spans="1:9" ht="15" customHeight="1" x14ac:dyDescent="0.2">
      <c r="A22" s="73"/>
      <c r="B22" s="74"/>
      <c r="C22" s="74"/>
      <c r="D22" s="74"/>
      <c r="E22" s="74"/>
      <c r="F22" s="74"/>
      <c r="G22" s="74"/>
      <c r="H22" s="74"/>
      <c r="I22" s="75"/>
    </row>
    <row r="23" spans="1:9" ht="15" customHeight="1" x14ac:dyDescent="0.2">
      <c r="A23" s="73"/>
      <c r="B23" s="74"/>
      <c r="C23" s="74"/>
      <c r="D23" s="74"/>
      <c r="E23" s="74"/>
      <c r="F23" s="74"/>
      <c r="G23" s="74"/>
      <c r="H23" s="74"/>
      <c r="I23" s="75"/>
    </row>
    <row r="24" spans="1:9" ht="15" customHeight="1" thickBot="1" x14ac:dyDescent="0.25">
      <c r="A24" s="76"/>
      <c r="B24" s="77"/>
      <c r="C24" s="77"/>
      <c r="D24" s="77"/>
      <c r="E24" s="77"/>
      <c r="F24" s="77"/>
      <c r="G24" s="77"/>
      <c r="H24" s="77"/>
      <c r="I24" s="78"/>
    </row>
    <row r="25" spans="1:9" ht="15" customHeight="1" thickBot="1" x14ac:dyDescent="0.3">
      <c r="A25" s="3"/>
      <c r="B25" s="3"/>
      <c r="C25" s="3"/>
      <c r="D25" s="3"/>
      <c r="E25" s="3"/>
      <c r="F25" s="3"/>
      <c r="G25" s="3"/>
      <c r="H25" s="3"/>
      <c r="I25" s="3"/>
    </row>
    <row r="26" spans="1:9" ht="15" customHeight="1" thickBot="1" x14ac:dyDescent="0.25">
      <c r="A26" s="30" t="s">
        <v>30</v>
      </c>
      <c r="B26" s="25"/>
      <c r="C26" s="22" t="s">
        <v>18</v>
      </c>
      <c r="D26" s="22"/>
      <c r="E26" s="22"/>
      <c r="F26" s="25"/>
      <c r="G26" s="22" t="s">
        <v>31</v>
      </c>
      <c r="H26" s="31" t="s">
        <v>19</v>
      </c>
      <c r="I26" s="32" t="s">
        <v>20</v>
      </c>
    </row>
    <row r="27" spans="1:9" ht="18" customHeight="1" x14ac:dyDescent="0.2">
      <c r="A27" s="100"/>
      <c r="B27" s="101"/>
      <c r="C27" s="94"/>
      <c r="D27" s="95"/>
      <c r="E27" s="95"/>
      <c r="F27" s="96"/>
      <c r="G27" s="48"/>
      <c r="H27" s="49"/>
      <c r="I27" s="50"/>
    </row>
    <row r="28" spans="1:9" ht="18" customHeight="1" x14ac:dyDescent="0.2">
      <c r="A28" s="90"/>
      <c r="B28" s="91"/>
      <c r="C28" s="97"/>
      <c r="D28" s="80"/>
      <c r="E28" s="80"/>
      <c r="F28" s="91"/>
      <c r="G28" s="6"/>
      <c r="H28" s="51"/>
      <c r="I28" s="52"/>
    </row>
    <row r="29" spans="1:9" ht="18" customHeight="1" x14ac:dyDescent="0.2">
      <c r="A29" s="90"/>
      <c r="B29" s="91"/>
      <c r="C29" s="97"/>
      <c r="D29" s="80"/>
      <c r="E29" s="80"/>
      <c r="F29" s="91"/>
      <c r="G29" s="6"/>
      <c r="H29" s="51"/>
      <c r="I29" s="52"/>
    </row>
    <row r="30" spans="1:9" ht="18" customHeight="1" x14ac:dyDescent="0.2">
      <c r="A30" s="90"/>
      <c r="B30" s="91"/>
      <c r="C30" s="97"/>
      <c r="D30" s="80"/>
      <c r="E30" s="80"/>
      <c r="F30" s="91"/>
      <c r="G30" s="6"/>
      <c r="H30" s="51"/>
      <c r="I30" s="52"/>
    </row>
    <row r="31" spans="1:9" ht="18" customHeight="1" thickBot="1" x14ac:dyDescent="0.25">
      <c r="A31" s="92"/>
      <c r="B31" s="93"/>
      <c r="C31" s="98"/>
      <c r="D31" s="99"/>
      <c r="E31" s="99"/>
      <c r="F31" s="93"/>
      <c r="G31" s="8"/>
      <c r="H31" s="53"/>
      <c r="I31" s="54"/>
    </row>
    <row r="32" spans="1:9" ht="15" customHeight="1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ht="6.75" customHeight="1" thickBot="1" x14ac:dyDescent="0.3">
      <c r="A33" s="3"/>
      <c r="B33" s="3"/>
      <c r="C33" s="3"/>
      <c r="D33" s="3"/>
      <c r="E33" s="3"/>
      <c r="F33" s="3"/>
      <c r="G33" s="3"/>
      <c r="H33" s="3"/>
      <c r="I33" s="3"/>
    </row>
    <row r="34" spans="1:9" ht="24" customHeight="1" thickBot="1" x14ac:dyDescent="0.25">
      <c r="A34" s="24" t="s">
        <v>28</v>
      </c>
      <c r="B34" s="25"/>
      <c r="C34" s="26" t="s">
        <v>2</v>
      </c>
      <c r="D34" s="26" t="s">
        <v>12</v>
      </c>
      <c r="E34" s="26" t="s">
        <v>13</v>
      </c>
      <c r="F34" s="27" t="s">
        <v>14</v>
      </c>
      <c r="G34" s="28" t="s">
        <v>26</v>
      </c>
      <c r="H34" s="28" t="s">
        <v>15</v>
      </c>
      <c r="I34" s="29" t="s">
        <v>27</v>
      </c>
    </row>
    <row r="35" spans="1:9" ht="13.5" customHeight="1" x14ac:dyDescent="0.2">
      <c r="A35" s="100" t="s">
        <v>44</v>
      </c>
      <c r="B35" s="101"/>
      <c r="C35" s="55" t="s">
        <v>45</v>
      </c>
      <c r="D35" s="109">
        <v>0.43055555555555558</v>
      </c>
      <c r="E35" s="109">
        <v>0.44444444444444442</v>
      </c>
      <c r="F35" s="57">
        <v>1</v>
      </c>
      <c r="G35" s="56"/>
      <c r="H35" s="56"/>
      <c r="I35" s="7"/>
    </row>
    <row r="36" spans="1:9" ht="13.5" customHeight="1" x14ac:dyDescent="0.2">
      <c r="A36" s="90"/>
      <c r="B36" s="91"/>
      <c r="C36" s="58"/>
      <c r="D36" s="59"/>
      <c r="E36" s="59"/>
      <c r="F36" s="60"/>
      <c r="G36" s="59"/>
      <c r="H36" s="59"/>
      <c r="I36" s="61"/>
    </row>
    <row r="37" spans="1:9" ht="13.5" customHeight="1" x14ac:dyDescent="0.2">
      <c r="A37" s="90"/>
      <c r="B37" s="91"/>
      <c r="C37" s="59"/>
      <c r="D37" s="59"/>
      <c r="E37" s="59"/>
      <c r="F37" s="60"/>
      <c r="G37" s="59"/>
      <c r="H37" s="59"/>
      <c r="I37" s="61"/>
    </row>
    <row r="38" spans="1:9" ht="13.5" customHeight="1" thickBot="1" x14ac:dyDescent="0.25">
      <c r="A38" s="92"/>
      <c r="B38" s="93"/>
      <c r="C38" s="62"/>
      <c r="D38" s="62"/>
      <c r="E38" s="62"/>
      <c r="F38" s="63"/>
      <c r="G38" s="62"/>
      <c r="H38" s="62"/>
      <c r="I38" s="9"/>
    </row>
    <row r="39" spans="1:9" ht="15.75" thickBot="1" x14ac:dyDescent="0.3">
      <c r="A39" s="3"/>
      <c r="B39" s="3"/>
      <c r="C39" s="18"/>
      <c r="D39" s="3"/>
      <c r="E39" s="20" t="s">
        <v>16</v>
      </c>
      <c r="F39" s="64">
        <f>IF(SUM(F35:F38)=0, "", SUM(F35:F38))</f>
        <v>1</v>
      </c>
      <c r="G39" s="64" t="str">
        <f t="shared" ref="G39:I39" si="0">IF(SUM(G35:G38)=0, "", SUM(G35:G38))</f>
        <v/>
      </c>
      <c r="H39" s="64" t="str">
        <f t="shared" si="0"/>
        <v/>
      </c>
      <c r="I39" s="64" t="str">
        <f t="shared" si="0"/>
        <v/>
      </c>
    </row>
    <row r="40" spans="1:9" ht="15" x14ac:dyDescent="0.25">
      <c r="A40" s="3"/>
      <c r="B40" s="3"/>
      <c r="C40" s="3"/>
      <c r="D40" s="3"/>
      <c r="E40" s="3"/>
      <c r="F40" s="3"/>
      <c r="G40" s="3"/>
      <c r="H40" s="3"/>
      <c r="I40" s="3"/>
    </row>
    <row r="41" spans="1:9" ht="9.75" customHeight="1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ht="7.5" customHeight="1" x14ac:dyDescent="0.25">
      <c r="A42" s="3"/>
      <c r="B42" s="3"/>
      <c r="C42" s="3"/>
      <c r="D42" s="3"/>
      <c r="E42" s="3"/>
      <c r="F42" s="3"/>
      <c r="G42" s="3"/>
      <c r="H42" s="3"/>
      <c r="I42" s="3"/>
    </row>
    <row r="43" spans="1:9" x14ac:dyDescent="0.2">
      <c r="A43" s="65"/>
      <c r="B43" s="18"/>
      <c r="C43" s="18"/>
      <c r="D43" s="18"/>
      <c r="E43" s="18"/>
      <c r="F43" s="18"/>
      <c r="G43" s="108"/>
      <c r="H43" s="108"/>
      <c r="I43" s="18"/>
    </row>
    <row r="44" spans="1:9" ht="17.25" customHeight="1" thickBot="1" x14ac:dyDescent="0.25"/>
    <row r="45" spans="1:9" ht="15" thickBot="1" x14ac:dyDescent="0.25">
      <c r="A45" s="105" t="s">
        <v>33</v>
      </c>
      <c r="B45" s="106"/>
      <c r="C45" s="106"/>
      <c r="D45" s="106"/>
      <c r="E45" s="106"/>
      <c r="F45" s="106"/>
      <c r="G45" s="106"/>
      <c r="H45" s="106"/>
      <c r="I45" s="107"/>
    </row>
    <row r="46" spans="1:9" ht="15" customHeight="1" x14ac:dyDescent="0.2">
      <c r="A46" s="70"/>
      <c r="B46" s="71"/>
      <c r="C46" s="71"/>
      <c r="D46" s="71"/>
      <c r="E46" s="71"/>
      <c r="F46" s="71"/>
      <c r="G46" s="71"/>
      <c r="H46" s="71"/>
      <c r="I46" s="72"/>
    </row>
    <row r="47" spans="1:9" x14ac:dyDescent="0.2">
      <c r="A47" s="73"/>
      <c r="B47" s="74"/>
      <c r="C47" s="74"/>
      <c r="D47" s="74"/>
      <c r="E47" s="74"/>
      <c r="F47" s="74"/>
      <c r="G47" s="74"/>
      <c r="H47" s="74"/>
      <c r="I47" s="75"/>
    </row>
    <row r="48" spans="1:9" x14ac:dyDescent="0.2">
      <c r="A48" s="73"/>
      <c r="B48" s="74"/>
      <c r="C48" s="74"/>
      <c r="D48" s="74"/>
      <c r="E48" s="74"/>
      <c r="F48" s="74"/>
      <c r="G48" s="74"/>
      <c r="H48" s="74"/>
      <c r="I48" s="75"/>
    </row>
    <row r="49" spans="1:9" x14ac:dyDescent="0.2">
      <c r="A49" s="102"/>
      <c r="B49" s="103"/>
      <c r="C49" s="103"/>
      <c r="D49" s="103"/>
      <c r="E49" s="103"/>
      <c r="F49" s="103"/>
      <c r="G49" s="103"/>
      <c r="H49" s="103"/>
      <c r="I49" s="104"/>
    </row>
    <row r="50" spans="1:9" ht="15.75" thickBot="1" x14ac:dyDescent="0.3">
      <c r="A50" s="10" t="s">
        <v>21</v>
      </c>
      <c r="B50" s="11"/>
      <c r="C50" s="11"/>
      <c r="D50" s="11"/>
      <c r="E50" s="12"/>
      <c r="F50" s="13" t="s">
        <v>32</v>
      </c>
      <c r="G50" s="14"/>
      <c r="H50" s="14"/>
      <c r="I50" s="15"/>
    </row>
    <row r="51" spans="1:9" x14ac:dyDescent="0.2">
      <c r="A51" s="16"/>
      <c r="B51" s="16"/>
      <c r="C51" s="16"/>
      <c r="D51" s="16"/>
      <c r="E51" s="16"/>
      <c r="F51" s="16"/>
      <c r="G51" s="16"/>
      <c r="H51" s="16"/>
      <c r="I51" s="16"/>
    </row>
    <row r="52" spans="1:9" ht="15" x14ac:dyDescent="0.25">
      <c r="A52" s="17"/>
      <c r="B52" s="17"/>
      <c r="C52" s="17"/>
      <c r="D52" s="17"/>
      <c r="E52" s="17"/>
      <c r="F52" s="17"/>
      <c r="G52" s="17"/>
      <c r="H52" s="17"/>
      <c r="I52" s="17"/>
    </row>
    <row r="53" spans="1:9" ht="15" x14ac:dyDescent="0.25">
      <c r="A53" s="18" t="s">
        <v>25</v>
      </c>
      <c r="B53" s="18"/>
      <c r="C53" s="18"/>
      <c r="D53" s="18"/>
      <c r="E53" s="3"/>
      <c r="F53" s="19" t="s">
        <v>24</v>
      </c>
      <c r="G53" s="3"/>
      <c r="H53" s="3"/>
      <c r="I53" s="3"/>
    </row>
    <row r="54" spans="1:9" ht="15" x14ac:dyDescent="0.25">
      <c r="A54" s="3"/>
      <c r="B54" s="3"/>
      <c r="C54" s="3"/>
      <c r="D54" s="3"/>
      <c r="E54" s="3"/>
      <c r="F54" s="3"/>
      <c r="G54" s="3"/>
      <c r="H54" s="3"/>
      <c r="I54" s="3"/>
    </row>
    <row r="55" spans="1:9" ht="15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customFormat="1" ht="12.75" x14ac:dyDescent="0.2">
      <c r="A56" s="4"/>
    </row>
    <row r="57" spans="1:9" customFormat="1" x14ac:dyDescent="0.2">
      <c r="A57" s="1"/>
      <c r="B57" s="1"/>
      <c r="C57" s="1"/>
      <c r="D57" s="1"/>
      <c r="E57" s="1"/>
      <c r="F57" s="1"/>
      <c r="G57" s="1"/>
      <c r="H57" s="1"/>
      <c r="I57" s="1"/>
    </row>
  </sheetData>
  <sheetProtection sheet="1" selectLockedCells="1"/>
  <mergeCells count="31">
    <mergeCell ref="A35:B35"/>
    <mergeCell ref="A36:B36"/>
    <mergeCell ref="A37:B37"/>
    <mergeCell ref="A38:B38"/>
    <mergeCell ref="A46:I49"/>
    <mergeCell ref="A45:I45"/>
    <mergeCell ref="G43:H43"/>
    <mergeCell ref="A28:B28"/>
    <mergeCell ref="A29:B29"/>
    <mergeCell ref="A30:B30"/>
    <mergeCell ref="A31:B31"/>
    <mergeCell ref="C27:F27"/>
    <mergeCell ref="C28:F28"/>
    <mergeCell ref="C29:F29"/>
    <mergeCell ref="C30:F30"/>
    <mergeCell ref="C31:F31"/>
    <mergeCell ref="A27:B27"/>
    <mergeCell ref="B16:I16"/>
    <mergeCell ref="A19:I24"/>
    <mergeCell ref="B7:C7"/>
    <mergeCell ref="B8:C8"/>
    <mergeCell ref="G7:I7"/>
    <mergeCell ref="G8:I8"/>
    <mergeCell ref="G9:I9"/>
    <mergeCell ref="G10:I10"/>
    <mergeCell ref="B12:C12"/>
    <mergeCell ref="B13:C13"/>
    <mergeCell ref="E12:F12"/>
    <mergeCell ref="E13:F13"/>
    <mergeCell ref="H12:I12"/>
    <mergeCell ref="H13:I13"/>
  </mergeCells>
  <phoneticPr fontId="0" type="noConversion"/>
  <printOptions horizontalCentered="1" verticalCentered="1"/>
  <pageMargins left="0.27559055118110237" right="0.19685039370078741" top="0.27559055118110237" bottom="0.51181102362204722" header="0.23622047244094491" footer="0.27559055118110237"/>
  <pageSetup paperSize="9" fitToWidth="0" orientation="portrait" r:id="rId1"/>
  <headerFooter alignWithMargins="0">
    <oddFooter>&amp;L&amp;"times new,Uobičajeno"Obr.11-HR&amp;C&amp;"Times New Roman,Uobičajeno"&amp;9Revizija05&amp;R&amp;"Times New Roman,Uobičajeno"&amp;9stranica &amp;P/&amp;N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9" r:id="rId4" name="Button 7">
              <controlPr defaultSize="0" print="0" autoFill="0" autoPict="0" macro="[0]!Vstavi_datum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5" name="Check Box 8">
              <controlPr locked="0" defaultSize="0" autoFill="0" autoLine="0" autoPict="0">
                <anchor moveWithCells="1">
                  <from>
                    <xdr:col>0</xdr:col>
                    <xdr:colOff>66675</xdr:colOff>
                    <xdr:row>41</xdr:row>
                    <xdr:rowOff>76200</xdr:rowOff>
                  </from>
                  <to>
                    <xdr:col>1</xdr:col>
                    <xdr:colOff>352425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6" name="Check Box 9">
              <controlPr locked="0" defaultSize="0" autoFill="0" autoLine="0" autoPict="0" altText="Instalacija">
                <anchor moveWithCells="1">
                  <from>
                    <xdr:col>1</xdr:col>
                    <xdr:colOff>628650</xdr:colOff>
                    <xdr:row>41</xdr:row>
                    <xdr:rowOff>76200</xdr:rowOff>
                  </from>
                  <to>
                    <xdr:col>3</xdr:col>
                    <xdr:colOff>180975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7" name="Check Box 10">
              <controlPr locked="0" defaultSize="0" autoFill="0" autoLine="0" autoPict="0" altText="Instalacija">
                <anchor moveWithCells="1">
                  <from>
                    <xdr:col>3</xdr:col>
                    <xdr:colOff>247650</xdr:colOff>
                    <xdr:row>41</xdr:row>
                    <xdr:rowOff>76200</xdr:rowOff>
                  </from>
                  <to>
                    <xdr:col>4</xdr:col>
                    <xdr:colOff>447675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8" name="Check Box 11">
              <controlPr locked="0" defaultSize="0" autoFill="0" autoLine="0" autoPict="0" altText="Instalacija">
                <anchor moveWithCells="1">
                  <from>
                    <xdr:col>5</xdr:col>
                    <xdr:colOff>95250</xdr:colOff>
                    <xdr:row>41</xdr:row>
                    <xdr:rowOff>76200</xdr:rowOff>
                  </from>
                  <to>
                    <xdr:col>6</xdr:col>
                    <xdr:colOff>238125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9" name="Check Box 12">
              <controlPr locked="0" defaultSize="0" autoFill="0" autoLine="0" autoPict="0" altText="Instalacija">
                <anchor moveWithCells="1">
                  <from>
                    <xdr:col>6</xdr:col>
                    <xdr:colOff>333375</xdr:colOff>
                    <xdr:row>41</xdr:row>
                    <xdr:rowOff>76200</xdr:rowOff>
                  </from>
                  <to>
                    <xdr:col>7</xdr:col>
                    <xdr:colOff>390525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0" name="Check Box 13">
              <controlPr locked="0" defaultSize="0" autoFill="0" autoLine="0" autoPict="0" altText="Instalacija">
                <anchor moveWithCells="1">
                  <from>
                    <xdr:col>7</xdr:col>
                    <xdr:colOff>514350</xdr:colOff>
                    <xdr:row>41</xdr:row>
                    <xdr:rowOff>76200</xdr:rowOff>
                  </from>
                  <to>
                    <xdr:col>8</xdr:col>
                    <xdr:colOff>771525</xdr:colOff>
                    <xdr:row>43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radni nalog s logotipom</vt:lpstr>
      <vt:lpstr>'radni nalog s logotipom'!Print_Area</vt:lpstr>
    </vt:vector>
  </TitlesOfParts>
  <Company>doma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 Anić Karasman</dc:creator>
  <cp:lastModifiedBy>Darko Majetić</cp:lastModifiedBy>
  <cp:lastPrinted>2025-10-15T09:58:19Z</cp:lastPrinted>
  <dcterms:created xsi:type="dcterms:W3CDTF">2005-07-20T05:44:23Z</dcterms:created>
  <dcterms:modified xsi:type="dcterms:W3CDTF">2025-11-08T10:07:13Z</dcterms:modified>
</cp:coreProperties>
</file>